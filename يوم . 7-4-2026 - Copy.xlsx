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15" documentId="13_ncr:1_{F2D9801C-5063-4C04-9174-F320A871711A}" xr6:coauthVersionLast="47" xr6:coauthVersionMax="47" xr10:uidLastSave="{71050801-FAC7-47AF-B035-E43D1D230D04}"/>
  <bookViews>
    <workbookView xWindow="-120" yWindow="-120" windowWidth="25440" windowHeight="15270" xr2:uid="{00000000-000D-0000-FFFF-FFFF00000000}"/>
  </bookViews>
  <sheets>
    <sheet name="يومية الاسمنت" sheetId="1" r:id="rId1"/>
    <sheet name="Sheet2" sheetId="2" r:id="rId2"/>
    <sheet name="Sheet3" sheetId="3" r:id="rId3"/>
    <sheet name="Sheet1" sheetId="4" r:id="rId4"/>
  </sheets>
  <calcPr calcId="181029"/>
</workbook>
</file>

<file path=xl/calcChain.xml><?xml version="1.0" encoding="utf-8"?>
<calcChain xmlns="http://schemas.openxmlformats.org/spreadsheetml/2006/main">
  <c r="J4" i="1" l="1"/>
  <c r="B5" i="1"/>
  <c r="B4" i="1"/>
  <c r="B8" i="1"/>
  <c r="B7" i="1"/>
  <c r="B6" i="1"/>
  <c r="I58" i="1"/>
  <c r="B12" i="1" l="1"/>
  <c r="B9" i="1" l="1"/>
  <c r="N26" i="1"/>
  <c r="J22" i="1" l="1"/>
  <c r="F35" i="1"/>
  <c r="J35" i="1" s="1"/>
  <c r="O34" i="1"/>
  <c r="F34" i="1"/>
  <c r="J34" i="1" s="1"/>
  <c r="O26" i="1"/>
  <c r="O33" i="1"/>
  <c r="O35" i="1"/>
  <c r="F33" i="1"/>
  <c r="J33" i="1" s="1"/>
  <c r="F32" i="1"/>
  <c r="F26" i="1" l="1"/>
  <c r="J26" i="1" s="1"/>
  <c r="N36" i="1"/>
  <c r="O27" i="1"/>
  <c r="I22" i="1"/>
  <c r="F29" i="1"/>
  <c r="J29" i="1" s="1"/>
  <c r="B10" i="1"/>
  <c r="B11" i="1"/>
  <c r="B13" i="1"/>
  <c r="E11" i="1"/>
  <c r="E6" i="1"/>
  <c r="E7" i="1"/>
  <c r="E8" i="1"/>
  <c r="E9" i="1"/>
  <c r="E10" i="1"/>
  <c r="E12" i="1"/>
  <c r="E13" i="1"/>
  <c r="A11" i="1" l="1"/>
  <c r="A9" i="1"/>
  <c r="A6" i="1"/>
  <c r="A12" i="1"/>
  <c r="A7" i="1"/>
  <c r="A10" i="1"/>
  <c r="A8" i="1"/>
  <c r="A13" i="1"/>
  <c r="E5" i="1"/>
  <c r="A5" i="1" s="1"/>
  <c r="F27" i="1" l="1"/>
  <c r="O28" i="1" l="1"/>
  <c r="O29" i="1"/>
  <c r="O30" i="1"/>
  <c r="O31" i="1"/>
  <c r="O32" i="1"/>
  <c r="O36" i="1" l="1"/>
  <c r="J36" i="1" s="1"/>
  <c r="E4" i="1"/>
  <c r="A4" i="1" s="1"/>
  <c r="A22" i="1" s="1"/>
  <c r="E3" i="1"/>
  <c r="F31" i="1" l="1"/>
  <c r="J31" i="1" s="1"/>
  <c r="F30" i="1" l="1"/>
  <c r="J30" i="1" l="1"/>
  <c r="J32" i="1"/>
  <c r="J27" i="1"/>
  <c r="F28" i="1"/>
  <c r="J28" i="1" s="1"/>
  <c r="J41" i="1" l="1"/>
  <c r="K24" i="1" l="1"/>
</calcChain>
</file>

<file path=xl/sharedStrings.xml><?xml version="1.0" encoding="utf-8"?>
<sst xmlns="http://schemas.openxmlformats.org/spreadsheetml/2006/main" count="60" uniqueCount="52">
  <si>
    <t>ارباح وخسائر</t>
  </si>
  <si>
    <t>النولون</t>
  </si>
  <si>
    <t>السائق</t>
  </si>
  <si>
    <t>سعر البيع</t>
  </si>
  <si>
    <t>التفاصيل</t>
  </si>
  <si>
    <t>النوع</t>
  </si>
  <si>
    <t>الباقي</t>
  </si>
  <si>
    <t>التاريخ</t>
  </si>
  <si>
    <t>بسم الله الرحمن الرحيم</t>
  </si>
  <si>
    <t>عقد مساهمة في شركة بيع حديد واسمنت</t>
  </si>
  <si>
    <t xml:space="preserve">اقر انا الموقع ادناه /هشام يوسف سليم علي </t>
  </si>
  <si>
    <t>علي سبيل المساهمة في تجارة حديد التسليح والاسمنت</t>
  </si>
  <si>
    <t>عرب مطير  مركز الفتح اسيوط</t>
  </si>
  <si>
    <t>عرب مطير مركز الفتح اسيوط</t>
  </si>
  <si>
    <t>وهذا قرار مني بذلك</t>
  </si>
  <si>
    <t>التوقيع</t>
  </si>
  <si>
    <t>رصيد نقدي</t>
  </si>
  <si>
    <t>جدول البونات</t>
  </si>
  <si>
    <t>الاجمالي</t>
  </si>
  <si>
    <t>سعر القطع</t>
  </si>
  <si>
    <t>المباع</t>
  </si>
  <si>
    <t>المضاف</t>
  </si>
  <si>
    <t>الرصيد المتبقي</t>
  </si>
  <si>
    <t>رصيد الجهاز</t>
  </si>
  <si>
    <t>من السيد / على عبدالقادر على محمد</t>
  </si>
  <si>
    <t>بطاقة رقم قومي /28507092502875</t>
  </si>
  <si>
    <t>استلام مبلغ وقدرة 100000    (مائة الف جنية مصريا فقط لاغير)</t>
  </si>
  <si>
    <t xml:space="preserve">مبيعات يوم </t>
  </si>
  <si>
    <t>العدد</t>
  </si>
  <si>
    <t>السعر</t>
  </si>
  <si>
    <t>رصيد سابق لقطع البونات</t>
  </si>
  <si>
    <t>الايداعات</t>
  </si>
  <si>
    <t>اجمالي الرصيد  بونات+نقديه</t>
  </si>
  <si>
    <t>تكلفه الرصيد المتبقي</t>
  </si>
  <si>
    <t>اجمالي الايداعات</t>
  </si>
  <si>
    <t>تكلفه المضاف</t>
  </si>
  <si>
    <t>التعمير</t>
  </si>
  <si>
    <t>مقاوم</t>
  </si>
  <si>
    <t xml:space="preserve">عاده 32 </t>
  </si>
  <si>
    <t>التنزيل</t>
  </si>
  <si>
    <t xml:space="preserve">        </t>
  </si>
  <si>
    <t>سايب جديد8/3</t>
  </si>
  <si>
    <t>عاده 42</t>
  </si>
  <si>
    <t>تشطيبات</t>
  </si>
  <si>
    <t xml:space="preserve"> </t>
  </si>
  <si>
    <t>يوسف فتحى</t>
  </si>
  <si>
    <t>مخزن العرب</t>
  </si>
  <si>
    <t>عاده32 جديد</t>
  </si>
  <si>
    <t>اخر كشف يوم 4/5</t>
  </si>
  <si>
    <t>مقاوم جديد</t>
  </si>
  <si>
    <t>الثلاثاء</t>
  </si>
  <si>
    <t>حسام زكي الساحل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</si>
</sst>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_-;_-&quot;ج.م.‏&quot;\ * #,##0\-;_-&quot;ج.م.‏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sz val="12"/>
      <color theme="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theme="6" tint="0.39997558519241921"/>
      <name val="Arial"/>
      <family val="2"/>
    </font>
    <font>
      <b/>
      <sz val="12"/>
      <color theme="0"/>
      <name val="Arial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3" applyFill="0" applyProtection="0"/>
  </cellStyleXfs>
  <cellXfs count="87">
    <xf numFmtId="0" fontId="0" fillId="0" borderId="0" xfId="0"/>
    <xf numFmtId="0" fontId="0" fillId="5" borderId="0" xfId="0" applyFill="1"/>
    <xf numFmtId="0" fontId="2" fillId="0" borderId="0" xfId="0" applyFont="1" applyAlignment="1">
      <alignment horizontal="center"/>
    </xf>
    <xf numFmtId="0" fontId="2" fillId="0" borderId="3" xfId="1" applyFont="1" applyAlignment="1">
      <alignment horizontal="center"/>
    </xf>
    <xf numFmtId="0" fontId="2" fillId="7" borderId="3" xfId="1" applyFont="1" applyFill="1" applyAlignment="1">
      <alignment horizontal="center"/>
    </xf>
    <xf numFmtId="0" fontId="2" fillId="5" borderId="3" xfId="1" applyFont="1" applyFill="1" applyAlignment="1">
      <alignment horizontal="center"/>
    </xf>
    <xf numFmtId="0" fontId="2" fillId="6" borderId="3" xfId="1" applyFont="1" applyFill="1" applyAlignment="1">
      <alignment horizontal="center"/>
    </xf>
    <xf numFmtId="0" fontId="2" fillId="0" borderId="0" xfId="1" applyFont="1" applyBorder="1" applyAlignment="1">
      <alignment horizontal="center"/>
    </xf>
    <xf numFmtId="0" fontId="3" fillId="0" borderId="0" xfId="0" applyFont="1"/>
    <xf numFmtId="0" fontId="5" fillId="6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6" fillId="0" borderId="3" xfId="1" applyFont="1" applyAlignment="1">
      <alignment horizontal="center"/>
    </xf>
    <xf numFmtId="0" fontId="6" fillId="5" borderId="3" xfId="1" applyFont="1" applyFill="1" applyAlignment="1">
      <alignment horizontal="center"/>
    </xf>
    <xf numFmtId="14" fontId="6" fillId="0" borderId="3" xfId="1" applyNumberFormat="1" applyFont="1" applyAlignment="1">
      <alignment horizontal="center"/>
    </xf>
    <xf numFmtId="0" fontId="6" fillId="3" borderId="3" xfId="1" applyFont="1" applyFill="1" applyAlignment="1">
      <alignment horizontal="center"/>
    </xf>
    <xf numFmtId="0" fontId="6" fillId="2" borderId="4" xfId="1" applyFont="1" applyFill="1" applyBorder="1" applyAlignment="1">
      <alignment horizontal="center"/>
    </xf>
    <xf numFmtId="16" fontId="6" fillId="5" borderId="3" xfId="1" applyNumberFormat="1" applyFont="1" applyFill="1" applyAlignment="1">
      <alignment horizontal="center"/>
    </xf>
    <xf numFmtId="0" fontId="6" fillId="2" borderId="3" xfId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4" borderId="3" xfId="1" applyFont="1" applyFill="1" applyAlignment="1">
      <alignment horizontal="center"/>
    </xf>
    <xf numFmtId="16" fontId="6" fillId="2" borderId="3" xfId="1" applyNumberFormat="1" applyFont="1" applyFill="1" applyAlignment="1">
      <alignment horizontal="center"/>
    </xf>
    <xf numFmtId="0" fontId="6" fillId="11" borderId="3" xfId="1" applyFont="1" applyFill="1" applyAlignment="1">
      <alignment horizontal="center"/>
    </xf>
    <xf numFmtId="0" fontId="6" fillId="9" borderId="3" xfId="1" applyFont="1" applyFill="1" applyAlignment="1">
      <alignment horizontal="center"/>
    </xf>
    <xf numFmtId="0" fontId="6" fillId="0" borderId="3" xfId="1" applyFont="1" applyFill="1" applyAlignment="1">
      <alignment horizontal="center"/>
    </xf>
    <xf numFmtId="0" fontId="5" fillId="0" borderId="0" xfId="0" applyFont="1"/>
    <xf numFmtId="0" fontId="6" fillId="0" borderId="5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0" borderId="6" xfId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13" borderId="3" xfId="1" applyFont="1" applyFill="1" applyAlignment="1">
      <alignment horizontal="center"/>
    </xf>
    <xf numFmtId="0" fontId="6" fillId="10" borderId="3" xfId="1" applyFont="1" applyFill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7" fillId="12" borderId="8" xfId="1" applyFont="1" applyFill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6" fillId="4" borderId="1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0" fillId="2" borderId="3" xfId="0" applyFill="1" applyBorder="1"/>
    <xf numFmtId="0" fontId="8" fillId="2" borderId="8" xfId="1" applyFont="1" applyFill="1" applyBorder="1" applyAlignment="1">
      <alignment horizontal="center"/>
    </xf>
    <xf numFmtId="0" fontId="7" fillId="5" borderId="3" xfId="1" applyFont="1" applyFill="1" applyAlignment="1">
      <alignment horizontal="center"/>
    </xf>
    <xf numFmtId="16" fontId="8" fillId="12" borderId="3" xfId="1" applyNumberFormat="1" applyFont="1" applyFill="1" applyAlignment="1">
      <alignment horizontal="center"/>
    </xf>
    <xf numFmtId="0" fontId="6" fillId="8" borderId="16" xfId="1" applyFont="1" applyFill="1" applyBorder="1" applyAlignment="1">
      <alignment horizontal="center"/>
    </xf>
    <xf numFmtId="0" fontId="9" fillId="11" borderId="3" xfId="1" applyFont="1" applyFill="1" applyAlignment="1">
      <alignment horizontal="center"/>
    </xf>
    <xf numFmtId="0" fontId="6" fillId="14" borderId="3" xfId="1" applyFont="1" applyFill="1" applyAlignment="1">
      <alignment horizontal="center"/>
    </xf>
    <xf numFmtId="0" fontId="10" fillId="14" borderId="0" xfId="0" applyFont="1" applyFill="1"/>
    <xf numFmtId="14" fontId="6" fillId="0" borderId="3" xfId="1" applyNumberFormat="1" applyFont="1" applyFill="1" applyAlignment="1">
      <alignment horizontal="center"/>
    </xf>
    <xf numFmtId="0" fontId="11" fillId="0" borderId="3" xfId="1" applyFont="1" applyAlignment="1">
      <alignment horizontal="center"/>
    </xf>
    <xf numFmtId="0" fontId="5" fillId="0" borderId="3" xfId="0" applyFont="1" applyBorder="1"/>
    <xf numFmtId="0" fontId="2" fillId="0" borderId="18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7" fillId="0" borderId="3" xfId="1" applyFont="1" applyAlignment="1">
      <alignment horizontal="center"/>
    </xf>
    <xf numFmtId="0" fontId="6" fillId="5" borderId="8" xfId="1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7" fillId="9" borderId="3" xfId="1" applyFont="1" applyFill="1" applyAlignment="1">
      <alignment horizontal="center"/>
    </xf>
    <xf numFmtId="0" fontId="14" fillId="7" borderId="3" xfId="1" applyFont="1" applyFill="1" applyAlignment="1">
      <alignment horizontal="center"/>
    </xf>
    <xf numFmtId="0" fontId="13" fillId="5" borderId="3" xfId="1" applyFont="1" applyFill="1" applyAlignment="1">
      <alignment horizontal="center"/>
    </xf>
    <xf numFmtId="0" fontId="7" fillId="11" borderId="3" xfId="1" applyFont="1" applyFill="1" applyAlignment="1">
      <alignment horizontal="center"/>
    </xf>
    <xf numFmtId="0" fontId="15" fillId="0" borderId="3" xfId="1" applyFont="1" applyFill="1" applyAlignment="1">
      <alignment horizontal="center"/>
    </xf>
    <xf numFmtId="0" fontId="12" fillId="0" borderId="3" xfId="1" applyFont="1" applyAlignment="1">
      <alignment horizontal="center"/>
    </xf>
    <xf numFmtId="0" fontId="2" fillId="5" borderId="18" xfId="1" applyFont="1" applyFill="1" applyBorder="1" applyAlignment="1">
      <alignment horizontal="center"/>
    </xf>
    <xf numFmtId="0" fontId="6" fillId="5" borderId="18" xfId="1" applyFont="1" applyFill="1" applyBorder="1" applyAlignment="1">
      <alignment horizontal="center"/>
    </xf>
    <xf numFmtId="0" fontId="15" fillId="0" borderId="3" xfId="1" applyFont="1" applyAlignment="1">
      <alignment horizontal="center"/>
    </xf>
    <xf numFmtId="14" fontId="7" fillId="5" borderId="3" xfId="1" applyNumberFormat="1" applyFont="1" applyFill="1" applyAlignment="1">
      <alignment horizontal="center"/>
    </xf>
    <xf numFmtId="0" fontId="12" fillId="5" borderId="3" xfId="1" applyFont="1" applyFill="1" applyAlignment="1">
      <alignment horizontal="center"/>
    </xf>
    <xf numFmtId="0" fontId="7" fillId="4" borderId="3" xfId="1" applyFont="1" applyFill="1" applyAlignment="1">
      <alignment horizontal="center"/>
    </xf>
    <xf numFmtId="0" fontId="7" fillId="0" borderId="3" xfId="1" applyFont="1" applyFill="1" applyAlignment="1">
      <alignment horizontal="center"/>
    </xf>
    <xf numFmtId="0" fontId="10" fillId="0" borderId="0" xfId="0" applyFont="1"/>
    <xf numFmtId="0" fontId="7" fillId="0" borderId="0" xfId="1" applyFont="1" applyFill="1" applyBorder="1" applyAlignment="1">
      <alignment horizontal="center"/>
    </xf>
    <xf numFmtId="0" fontId="16" fillId="0" borderId="0" xfId="0" applyFont="1"/>
    <xf numFmtId="0" fontId="6" fillId="13" borderId="3" xfId="0" applyFont="1" applyFill="1" applyBorder="1" applyAlignment="1">
      <alignment horizontal="center"/>
    </xf>
    <xf numFmtId="0" fontId="9" fillId="8" borderId="15" xfId="1" applyFont="1" applyFill="1" applyBorder="1" applyAlignment="1">
      <alignment horizontal="center" vertical="center" wrapText="1"/>
    </xf>
    <xf numFmtId="0" fontId="9" fillId="8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zoomScaleNormal="100" workbookViewId="0">
      <selection activeCell="H5" sqref="H5"/>
    </sheetView>
  </sheetViews>
  <sheetFormatPr defaultRowHeight="15" x14ac:dyDescent="0.25"/>
  <cols>
    <col min="1" max="1" width="15.5703125" customWidth="1"/>
    <col min="2" max="2" width="10.85546875" customWidth="1"/>
    <col min="3" max="3" width="9.85546875" customWidth="1"/>
    <col min="4" max="4" width="16" customWidth="1"/>
    <col min="5" max="5" width="9.5703125" customWidth="1"/>
    <col min="6" max="6" width="31.42578125" customWidth="1"/>
    <col min="7" max="7" width="13.7109375" customWidth="1"/>
    <col min="8" max="8" width="12.5703125" customWidth="1"/>
    <col min="9" max="9" width="9.5703125" customWidth="1"/>
    <col min="10" max="10" width="18.85546875" customWidth="1"/>
    <col min="11" max="11" width="22.28515625" customWidth="1"/>
    <col min="12" max="12" width="10.5703125" customWidth="1"/>
    <col min="13" max="13" width="19.28515625" customWidth="1"/>
    <col min="14" max="14" width="12.42578125" customWidth="1"/>
    <col min="15" max="15" width="20" customWidth="1"/>
    <col min="17" max="17" width="7.7109375" bestFit="1" customWidth="1"/>
    <col min="18" max="18" width="23.85546875" bestFit="1" customWidth="1"/>
    <col min="19" max="19" width="9.7109375" customWidth="1"/>
    <col min="20" max="20" width="15.140625" customWidth="1"/>
  </cols>
  <sheetData>
    <row r="1" spans="1:18" ht="15.75" x14ac:dyDescent="0.25">
      <c r="A1" s="2"/>
      <c r="B1" s="2"/>
      <c r="C1" s="2"/>
      <c r="D1" s="2"/>
      <c r="E1" s="2"/>
      <c r="F1" s="9" t="s">
        <v>8</v>
      </c>
      <c r="G1" s="10" t="s">
        <v>36</v>
      </c>
      <c r="H1" s="84" t="s">
        <v>50</v>
      </c>
      <c r="I1" s="84"/>
      <c r="J1" s="35">
        <v>46207</v>
      </c>
      <c r="K1" s="10" t="s">
        <v>27</v>
      </c>
      <c r="L1" s="2"/>
      <c r="M1" s="2"/>
      <c r="N1" s="2"/>
      <c r="O1" s="45"/>
      <c r="P1" s="43"/>
      <c r="Q1" s="44"/>
    </row>
    <row r="2" spans="1:18" ht="15.75" x14ac:dyDescent="0.25">
      <c r="A2" s="17" t="s">
        <v>0</v>
      </c>
      <c r="B2" s="17" t="s">
        <v>1</v>
      </c>
      <c r="C2" s="17" t="s">
        <v>1</v>
      </c>
      <c r="D2" s="17" t="s">
        <v>2</v>
      </c>
      <c r="E2" s="17" t="s">
        <v>3</v>
      </c>
      <c r="F2" s="15" t="s">
        <v>4</v>
      </c>
      <c r="G2" s="15" t="s">
        <v>5</v>
      </c>
      <c r="H2" s="15" t="s">
        <v>29</v>
      </c>
      <c r="I2" s="15" t="s">
        <v>28</v>
      </c>
      <c r="J2" s="15" t="s">
        <v>44</v>
      </c>
      <c r="K2" s="15" t="s">
        <v>7</v>
      </c>
      <c r="L2" s="17" t="s">
        <v>39</v>
      </c>
      <c r="M2" s="17" t="s">
        <v>3</v>
      </c>
      <c r="N2" s="17"/>
      <c r="O2" s="37" t="s">
        <v>4</v>
      </c>
      <c r="P2" s="29"/>
      <c r="Q2" s="29"/>
      <c r="R2" s="29"/>
    </row>
    <row r="3" spans="1:18" ht="15.75" x14ac:dyDescent="0.25">
      <c r="A3" s="3"/>
      <c r="B3" s="3"/>
      <c r="C3" s="3"/>
      <c r="E3" s="34">
        <f>+I3*H3</f>
        <v>0</v>
      </c>
      <c r="F3" s="76" t="s">
        <v>46</v>
      </c>
      <c r="G3" s="61" t="s">
        <v>37</v>
      </c>
      <c r="H3" s="3"/>
      <c r="I3" s="3"/>
      <c r="J3" s="14">
        <v>3496922.5</v>
      </c>
      <c r="K3" s="13"/>
      <c r="L3" s="5"/>
      <c r="M3" s="64"/>
      <c r="N3" s="3"/>
      <c r="O3" s="36"/>
      <c r="P3" s="48"/>
      <c r="Q3" s="48"/>
      <c r="R3" s="48"/>
    </row>
    <row r="4" spans="1:18" ht="15.75" x14ac:dyDescent="0.25">
      <c r="A4" s="4">
        <f t="shared" ref="A4:A13" si="0">(-J4+B4)-E4</f>
        <v>-5000</v>
      </c>
      <c r="B4" s="3">
        <f>I4*C4+500</f>
        <v>3750</v>
      </c>
      <c r="C4" s="73">
        <v>130</v>
      </c>
      <c r="D4" s="3" t="s">
        <v>45</v>
      </c>
      <c r="E4" s="34">
        <f t="shared" ref="E4" si="1">+I4*H4</f>
        <v>102500</v>
      </c>
      <c r="F4" s="65" t="s">
        <v>51</v>
      </c>
      <c r="G4" s="3" t="s">
        <v>37</v>
      </c>
      <c r="H4" s="73">
        <v>4100</v>
      </c>
      <c r="I4" s="3">
        <v>25</v>
      </c>
      <c r="J4" s="3">
        <f>-25*3750</f>
        <v>-93750</v>
      </c>
      <c r="K4" s="13">
        <v>46207</v>
      </c>
      <c r="L4" s="66"/>
      <c r="M4" s="12"/>
      <c r="N4" s="63"/>
      <c r="O4" s="36"/>
      <c r="P4" s="48"/>
      <c r="Q4" s="48"/>
      <c r="R4" s="48"/>
    </row>
    <row r="5" spans="1:18" ht="15.75" x14ac:dyDescent="0.25">
      <c r="A5" s="4">
        <f t="shared" si="0"/>
        <v>0</v>
      </c>
      <c r="B5" s="73">
        <f>I5*C5</f>
        <v>0</v>
      </c>
      <c r="C5" s="73"/>
      <c r="D5" s="3"/>
      <c r="E5" s="34">
        <f>+I5*H5</f>
        <v>0</v>
      </c>
      <c r="F5" s="65"/>
      <c r="G5" s="3"/>
      <c r="H5" s="73"/>
      <c r="I5" s="3"/>
      <c r="J5" s="3"/>
      <c r="K5" s="13"/>
      <c r="L5" s="66"/>
      <c r="M5" s="12"/>
      <c r="N5" s="63"/>
      <c r="O5" s="36"/>
      <c r="P5" s="48"/>
      <c r="Q5" s="48"/>
      <c r="R5" s="48"/>
    </row>
    <row r="6" spans="1:18" ht="15.75" x14ac:dyDescent="0.25">
      <c r="A6" s="4">
        <f t="shared" si="0"/>
        <v>0</v>
      </c>
      <c r="B6" s="73">
        <f>I6*C6</f>
        <v>0</v>
      </c>
      <c r="C6" s="73"/>
      <c r="D6" s="3"/>
      <c r="E6" s="34">
        <f>+I6*H6</f>
        <v>0</v>
      </c>
      <c r="F6" s="65"/>
      <c r="G6" s="3"/>
      <c r="H6" s="73"/>
      <c r="I6" s="3"/>
      <c r="J6" s="3"/>
      <c r="K6" s="13"/>
      <c r="L6" s="66"/>
      <c r="M6" s="12"/>
      <c r="N6" s="63"/>
      <c r="O6" s="36"/>
      <c r="P6" s="48"/>
      <c r="Q6" s="48"/>
      <c r="R6" s="48"/>
    </row>
    <row r="7" spans="1:18" ht="15.75" x14ac:dyDescent="0.25">
      <c r="A7" s="4">
        <f t="shared" si="0"/>
        <v>0</v>
      </c>
      <c r="B7" s="73">
        <f>I7*C7</f>
        <v>0</v>
      </c>
      <c r="C7" s="73"/>
      <c r="D7" s="3"/>
      <c r="E7" s="34">
        <f t="shared" ref="E7:E13" si="2">+I7*H7</f>
        <v>0</v>
      </c>
      <c r="F7" s="65"/>
      <c r="G7" s="3"/>
      <c r="H7" s="73"/>
      <c r="I7" s="3"/>
      <c r="J7" s="3"/>
      <c r="K7" s="13"/>
      <c r="L7" s="66"/>
      <c r="M7" s="12"/>
      <c r="N7" s="63"/>
      <c r="O7" s="36"/>
      <c r="P7" s="48"/>
      <c r="Q7" s="48"/>
      <c r="R7" s="48"/>
    </row>
    <row r="8" spans="1:18" ht="15.75" x14ac:dyDescent="0.25">
      <c r="A8" s="4">
        <f t="shared" si="0"/>
        <v>0</v>
      </c>
      <c r="B8" s="73">
        <f>I8*C8</f>
        <v>0</v>
      </c>
      <c r="C8" s="3"/>
      <c r="D8" s="3"/>
      <c r="E8" s="34">
        <f t="shared" si="2"/>
        <v>0</v>
      </c>
      <c r="F8" s="65"/>
      <c r="G8" s="3"/>
      <c r="H8" s="73"/>
      <c r="I8" s="3"/>
      <c r="J8" s="3"/>
      <c r="K8" s="13"/>
      <c r="L8" s="66"/>
      <c r="M8" s="12"/>
      <c r="N8" s="3"/>
      <c r="O8" s="38"/>
      <c r="P8" s="48"/>
      <c r="Q8" s="48"/>
      <c r="R8" s="48"/>
    </row>
    <row r="9" spans="1:18" ht="15.75" x14ac:dyDescent="0.25">
      <c r="A9" s="4">
        <f t="shared" si="0"/>
        <v>0</v>
      </c>
      <c r="B9" s="73">
        <f t="shared" ref="B9" si="3">I9*C9</f>
        <v>0</v>
      </c>
      <c r="C9" s="3"/>
      <c r="D9" s="3"/>
      <c r="E9" s="34">
        <f t="shared" si="2"/>
        <v>0</v>
      </c>
      <c r="F9" s="65"/>
      <c r="G9" s="3"/>
      <c r="H9" s="3"/>
      <c r="I9" s="3"/>
      <c r="J9" s="3"/>
      <c r="K9" s="13"/>
      <c r="L9" s="36"/>
      <c r="M9" s="12"/>
      <c r="N9" s="11"/>
      <c r="O9" s="11"/>
      <c r="P9" s="48"/>
      <c r="Q9" s="48"/>
      <c r="R9" s="48"/>
    </row>
    <row r="10" spans="1:18" ht="15.75" x14ac:dyDescent="0.25">
      <c r="A10" s="4">
        <f t="shared" si="0"/>
        <v>0</v>
      </c>
      <c r="B10" s="3">
        <f t="shared" ref="B10:B13" si="4">I10*C10</f>
        <v>0</v>
      </c>
      <c r="C10" s="3"/>
      <c r="D10" s="3"/>
      <c r="E10" s="34">
        <f t="shared" si="2"/>
        <v>0</v>
      </c>
      <c r="F10" s="65"/>
      <c r="G10" s="3"/>
      <c r="H10" s="73"/>
      <c r="I10" s="3"/>
      <c r="J10" s="3"/>
      <c r="K10" s="13"/>
      <c r="L10" s="36"/>
      <c r="M10" s="12"/>
      <c r="N10" s="11"/>
      <c r="O10" s="11"/>
      <c r="P10" s="48"/>
      <c r="Q10" s="48"/>
      <c r="R10" s="48"/>
    </row>
    <row r="11" spans="1:18" ht="15.75" x14ac:dyDescent="0.25">
      <c r="A11" s="4">
        <f t="shared" si="0"/>
        <v>0</v>
      </c>
      <c r="B11" s="3">
        <f t="shared" si="4"/>
        <v>0</v>
      </c>
      <c r="C11" s="3"/>
      <c r="D11" s="3"/>
      <c r="E11" s="34">
        <f>+I11*H11</f>
        <v>0</v>
      </c>
      <c r="F11" s="11"/>
      <c r="G11" s="3"/>
      <c r="H11" s="3"/>
      <c r="I11" s="3"/>
      <c r="J11" s="3"/>
      <c r="K11" s="13"/>
      <c r="L11" s="36"/>
      <c r="M11" s="12"/>
      <c r="N11" s="3"/>
      <c r="O11" s="38"/>
      <c r="P11" s="48"/>
      <c r="Q11" s="48"/>
      <c r="R11" s="48"/>
    </row>
    <row r="12" spans="1:18" ht="15.75" x14ac:dyDescent="0.25">
      <c r="A12" s="4">
        <f t="shared" si="0"/>
        <v>0</v>
      </c>
      <c r="B12" s="3">
        <f>I12*C12</f>
        <v>0</v>
      </c>
      <c r="C12" s="3"/>
      <c r="D12" s="3"/>
      <c r="E12" s="34">
        <f>+I12*H12</f>
        <v>0</v>
      </c>
      <c r="F12" s="11"/>
      <c r="G12" s="3"/>
      <c r="H12" s="3"/>
      <c r="I12" s="3"/>
      <c r="J12" s="3"/>
      <c r="K12" s="13"/>
      <c r="L12" s="36"/>
      <c r="M12" s="70"/>
      <c r="N12" s="63"/>
      <c r="O12" s="38"/>
      <c r="P12" s="48"/>
      <c r="Q12" s="48"/>
      <c r="R12" s="48"/>
    </row>
    <row r="13" spans="1:18" ht="15.75" x14ac:dyDescent="0.25">
      <c r="A13" s="4">
        <f t="shared" si="0"/>
        <v>0</v>
      </c>
      <c r="B13" s="3">
        <f t="shared" si="4"/>
        <v>0</v>
      </c>
      <c r="C13" s="3"/>
      <c r="D13" s="3"/>
      <c r="E13" s="34">
        <f t="shared" si="2"/>
        <v>0</v>
      </c>
      <c r="F13" s="12"/>
      <c r="G13" s="12"/>
      <c r="H13" s="12"/>
      <c r="I13" s="12"/>
      <c r="J13" s="12"/>
      <c r="K13" s="13"/>
      <c r="L13" s="36"/>
      <c r="M13" s="70"/>
      <c r="N13" s="74"/>
      <c r="O13" s="38"/>
      <c r="P13" s="48"/>
      <c r="Q13" s="48"/>
      <c r="R13" s="48"/>
    </row>
    <row r="14" spans="1:18" ht="15.75" x14ac:dyDescent="0.25">
      <c r="A14" s="69"/>
      <c r="B14" s="3"/>
      <c r="C14" s="3"/>
      <c r="D14" s="3"/>
      <c r="E14" s="34"/>
      <c r="F14" s="11"/>
      <c r="G14" s="3"/>
      <c r="H14" s="3"/>
      <c r="I14" s="3"/>
      <c r="J14" s="3"/>
      <c r="K14" s="13"/>
      <c r="L14" s="36"/>
      <c r="M14" s="5"/>
      <c r="N14" s="74"/>
      <c r="O14" s="39"/>
      <c r="P14" s="48"/>
      <c r="Q14" s="48"/>
      <c r="R14" s="48"/>
    </row>
    <row r="15" spans="1:18" s="1" customFormat="1" ht="15.75" x14ac:dyDescent="0.25">
      <c r="A15" s="4"/>
      <c r="B15" s="3"/>
      <c r="C15" s="5"/>
      <c r="D15" s="5"/>
      <c r="E15" s="11"/>
      <c r="G15" s="5"/>
      <c r="H15" s="5"/>
      <c r="I15" s="5"/>
      <c r="J15" s="33" t="s">
        <v>31</v>
      </c>
      <c r="K15" s="16"/>
      <c r="L15" s="40"/>
      <c r="M15" s="5"/>
      <c r="N15" s="74"/>
      <c r="O15" s="40"/>
      <c r="P15" s="48"/>
      <c r="Q15" s="48"/>
      <c r="R15" s="48"/>
    </row>
    <row r="16" spans="1:18" ht="15.75" x14ac:dyDescent="0.25">
      <c r="A16" s="4"/>
      <c r="B16" s="3"/>
      <c r="C16" s="3"/>
      <c r="D16" s="3"/>
      <c r="E16" s="5"/>
      <c r="F16" s="54"/>
      <c r="G16" s="78"/>
      <c r="H16" s="78"/>
      <c r="I16" s="78"/>
      <c r="J16" s="54"/>
      <c r="K16" s="77"/>
      <c r="L16" s="40"/>
      <c r="M16" s="5"/>
      <c r="N16" s="75"/>
      <c r="O16" s="36"/>
      <c r="P16" s="48"/>
      <c r="Q16" s="48"/>
      <c r="R16" s="48"/>
    </row>
    <row r="17" spans="1:18" ht="15.75" x14ac:dyDescent="0.25">
      <c r="A17" s="4"/>
      <c r="B17" s="3"/>
      <c r="C17" s="3"/>
      <c r="D17" s="3"/>
      <c r="E17" s="3"/>
      <c r="F17" s="54"/>
      <c r="G17" s="78"/>
      <c r="H17" s="78"/>
      <c r="I17" s="78"/>
      <c r="J17" s="54"/>
      <c r="K17" s="77"/>
      <c r="L17" s="40"/>
      <c r="M17" s="12"/>
      <c r="N17" s="75"/>
      <c r="O17" s="36"/>
      <c r="P17" s="48"/>
      <c r="Q17" s="48"/>
      <c r="R17" s="48"/>
    </row>
    <row r="18" spans="1:18" ht="15.75" x14ac:dyDescent="0.25">
      <c r="A18" s="4"/>
      <c r="B18" s="3"/>
      <c r="C18" s="3"/>
      <c r="D18" s="3"/>
      <c r="E18" s="3"/>
      <c r="F18" s="54"/>
      <c r="G18" s="78"/>
      <c r="H18" s="78"/>
      <c r="I18" s="78"/>
      <c r="J18" s="54"/>
      <c r="K18" s="77"/>
      <c r="L18" s="40"/>
      <c r="M18" s="5"/>
      <c r="N18" s="75"/>
      <c r="O18" s="42" t="s">
        <v>48</v>
      </c>
      <c r="P18" s="48"/>
      <c r="Q18" s="48"/>
      <c r="R18" s="48"/>
    </row>
    <row r="19" spans="1:18" ht="15.75" x14ac:dyDescent="0.25">
      <c r="A19" s="4"/>
      <c r="B19" s="3"/>
      <c r="C19" s="3"/>
      <c r="D19" s="3"/>
      <c r="E19" s="3"/>
      <c r="F19" s="54"/>
      <c r="G19" s="12"/>
      <c r="H19" s="12"/>
      <c r="I19" s="12"/>
      <c r="J19" s="54"/>
      <c r="K19" s="77"/>
      <c r="L19" s="3"/>
      <c r="M19" s="3"/>
      <c r="N19" s="5"/>
      <c r="O19" s="36"/>
      <c r="P19" s="48"/>
      <c r="Q19" s="48"/>
      <c r="R19" s="48"/>
    </row>
    <row r="20" spans="1:18" ht="15.75" x14ac:dyDescent="0.25">
      <c r="A20" s="4"/>
      <c r="B20" s="3"/>
      <c r="C20" s="3"/>
      <c r="D20" s="3"/>
      <c r="E20" s="3"/>
      <c r="F20" s="23"/>
      <c r="G20" s="23"/>
      <c r="H20" s="23"/>
      <c r="I20" s="23"/>
      <c r="J20" s="23"/>
      <c r="K20" s="60"/>
      <c r="L20" s="3"/>
      <c r="M20" s="3"/>
      <c r="N20" s="3"/>
      <c r="O20" s="36"/>
      <c r="P20" s="48"/>
      <c r="Q20" s="48"/>
    </row>
    <row r="21" spans="1:18" ht="15.75" x14ac:dyDescent="0.25">
      <c r="A21" s="4"/>
      <c r="B21" s="3"/>
      <c r="C21" s="3"/>
      <c r="D21" s="3"/>
      <c r="E21" s="3"/>
      <c r="F21" s="23"/>
      <c r="G21" s="23"/>
      <c r="H21" s="23"/>
      <c r="I21" s="23"/>
      <c r="J21" s="72"/>
      <c r="K21" s="23"/>
      <c r="L21" s="3"/>
      <c r="M21" s="3"/>
      <c r="N21" s="3"/>
      <c r="O21" s="36"/>
      <c r="P21" s="48"/>
      <c r="Q21" s="48"/>
      <c r="R21" s="48"/>
    </row>
    <row r="22" spans="1:18" ht="15.75" x14ac:dyDescent="0.25">
      <c r="A22" s="6">
        <f>SUM(A4:A14)</f>
        <v>-5000</v>
      </c>
      <c r="B22" s="3"/>
      <c r="C22" s="3"/>
      <c r="D22" s="3"/>
      <c r="E22" s="3"/>
      <c r="F22" s="11"/>
      <c r="G22" s="11"/>
      <c r="H22" s="11"/>
      <c r="I22" s="11">
        <f>SUM(I4:I12)</f>
        <v>25</v>
      </c>
      <c r="J22" s="14">
        <f>SUM(J3:J21)</f>
        <v>3403172.5</v>
      </c>
      <c r="K22" s="11" t="s">
        <v>16</v>
      </c>
      <c r="L22" s="3"/>
      <c r="M22" s="3"/>
      <c r="N22" s="3"/>
      <c r="O22" s="36"/>
      <c r="P22" s="48"/>
      <c r="Q22" s="48"/>
      <c r="R22" s="48"/>
    </row>
    <row r="23" spans="1:18" ht="15.75" x14ac:dyDescent="0.25">
      <c r="A23" s="2"/>
      <c r="B23" s="2"/>
      <c r="C23" s="2"/>
      <c r="D23" s="2"/>
      <c r="E23" s="2"/>
      <c r="F23" s="2"/>
      <c r="G23" s="7"/>
      <c r="H23" s="7"/>
      <c r="I23" s="2"/>
      <c r="J23" s="2"/>
      <c r="K23" s="2"/>
      <c r="L23" s="18"/>
      <c r="M23" s="2"/>
      <c r="N23" s="2"/>
      <c r="O23" s="2"/>
      <c r="P23" s="48"/>
      <c r="Q23" s="2"/>
      <c r="R23" s="2"/>
    </row>
    <row r="24" spans="1:18" ht="19.5" customHeight="1" x14ac:dyDescent="0.25">
      <c r="A24" s="17"/>
      <c r="B24" s="17"/>
      <c r="C24" s="17"/>
      <c r="D24" s="17"/>
      <c r="E24" s="17"/>
      <c r="F24" s="17" t="s">
        <v>17</v>
      </c>
      <c r="G24" s="17"/>
      <c r="H24" s="17"/>
      <c r="I24" s="17"/>
      <c r="J24" s="17" t="s">
        <v>33</v>
      </c>
      <c r="K24" s="55" t="str">
        <f>IF(J22=J41,"المعادلة صحيحة ","المعادلة خطا ")</f>
        <v xml:space="preserve">المعادلة صحيحة </v>
      </c>
      <c r="L24" s="20"/>
      <c r="M24" s="17"/>
      <c r="N24" s="17"/>
      <c r="O24" s="53" t="s">
        <v>35</v>
      </c>
      <c r="P24" s="29"/>
      <c r="Q24" s="29"/>
      <c r="R24" s="29"/>
    </row>
    <row r="25" spans="1:18" ht="15.75" x14ac:dyDescent="0.25">
      <c r="A25" s="19" t="s">
        <v>5</v>
      </c>
      <c r="B25" s="19"/>
      <c r="C25" s="11" t="s">
        <v>6</v>
      </c>
      <c r="D25" s="11" t="s">
        <v>20</v>
      </c>
      <c r="E25" s="11" t="s">
        <v>21</v>
      </c>
      <c r="F25" s="11" t="s">
        <v>22</v>
      </c>
      <c r="G25" s="11" t="s">
        <v>19</v>
      </c>
      <c r="H25" s="11"/>
      <c r="I25" s="11"/>
      <c r="J25" s="11"/>
      <c r="K25" s="19"/>
      <c r="L25" s="11"/>
      <c r="M25" s="58" t="s">
        <v>30</v>
      </c>
      <c r="N25" s="58">
        <v>6472.5</v>
      </c>
      <c r="O25" s="41"/>
      <c r="P25" s="29"/>
      <c r="Q25" s="29"/>
      <c r="R25" s="29"/>
    </row>
    <row r="26" spans="1:18" ht="18" x14ac:dyDescent="0.25">
      <c r="A26" s="19" t="s">
        <v>37</v>
      </c>
      <c r="B26" s="19"/>
      <c r="C26" s="21">
        <v>825</v>
      </c>
      <c r="D26" s="68">
        <v>-25</v>
      </c>
      <c r="E26" s="68"/>
      <c r="F26" s="11">
        <f>C26+D26+E26</f>
        <v>800</v>
      </c>
      <c r="G26" s="11">
        <v>3750</v>
      </c>
      <c r="H26" s="11"/>
      <c r="I26" s="11"/>
      <c r="J26" s="11">
        <f>G26*F26</f>
        <v>3000000</v>
      </c>
      <c r="K26" s="19"/>
      <c r="L26" s="11"/>
      <c r="M26" s="57" t="s">
        <v>34</v>
      </c>
      <c r="N26" s="21">
        <f>SUM(J16:J21)</f>
        <v>0</v>
      </c>
      <c r="O26" s="41">
        <f>+E26*G26</f>
        <v>0</v>
      </c>
      <c r="P26" s="29"/>
      <c r="Q26" s="29"/>
      <c r="R26" s="29"/>
    </row>
    <row r="27" spans="1:18" ht="15.75" x14ac:dyDescent="0.25">
      <c r="A27" s="19" t="s">
        <v>38</v>
      </c>
      <c r="B27" s="19"/>
      <c r="C27" s="21">
        <v>100</v>
      </c>
      <c r="D27" s="22"/>
      <c r="E27" s="68"/>
      <c r="F27" s="11">
        <f>C27+D27+E27</f>
        <v>100</v>
      </c>
      <c r="G27" s="11">
        <v>3400</v>
      </c>
      <c r="H27" s="11"/>
      <c r="I27" s="11"/>
      <c r="J27" s="11">
        <f t="shared" ref="J27:J33" si="5">G27*F27</f>
        <v>340000</v>
      </c>
      <c r="K27" s="19"/>
      <c r="L27" s="11"/>
      <c r="M27" s="11"/>
      <c r="N27" s="21"/>
      <c r="O27" s="41">
        <f>+E27*G27</f>
        <v>0</v>
      </c>
      <c r="P27" s="29"/>
      <c r="Q27" s="29"/>
      <c r="R27" s="29"/>
    </row>
    <row r="28" spans="1:18" ht="15.75" x14ac:dyDescent="0.25">
      <c r="A28" s="19" t="s">
        <v>42</v>
      </c>
      <c r="B28" s="19"/>
      <c r="C28" s="21"/>
      <c r="D28" s="22"/>
      <c r="E28" s="68"/>
      <c r="F28" s="11">
        <f t="shared" ref="F28:F30" si="6">C28+D28+E28</f>
        <v>0</v>
      </c>
      <c r="G28" s="11">
        <v>3700</v>
      </c>
      <c r="H28" s="11"/>
      <c r="I28" s="11"/>
      <c r="J28" s="11">
        <f t="shared" si="5"/>
        <v>0</v>
      </c>
      <c r="K28" s="19"/>
      <c r="L28" s="12"/>
      <c r="M28" s="11"/>
      <c r="N28" s="21"/>
      <c r="O28" s="41">
        <f t="shared" ref="O28:O35" si="7">+E28*G28</f>
        <v>0</v>
      </c>
      <c r="P28" s="29"/>
      <c r="Q28" s="29"/>
      <c r="R28" s="29"/>
    </row>
    <row r="29" spans="1:18" ht="15.75" x14ac:dyDescent="0.25">
      <c r="A29" s="19" t="s">
        <v>43</v>
      </c>
      <c r="B29" s="19"/>
      <c r="C29" s="21"/>
      <c r="D29" s="22"/>
      <c r="E29" s="68"/>
      <c r="F29" s="11">
        <f t="shared" si="6"/>
        <v>0</v>
      </c>
      <c r="G29" s="11">
        <v>3100</v>
      </c>
      <c r="H29" s="11"/>
      <c r="I29" s="11"/>
      <c r="J29" s="11">
        <f>G29*F29</f>
        <v>0</v>
      </c>
      <c r="K29" s="19"/>
      <c r="L29" s="11"/>
      <c r="M29" s="11"/>
      <c r="N29" s="21"/>
      <c r="O29" s="41">
        <f t="shared" si="7"/>
        <v>0</v>
      </c>
      <c r="P29" s="29"/>
      <c r="Q29" s="29"/>
      <c r="R29" s="29"/>
    </row>
    <row r="30" spans="1:18" ht="15.75" x14ac:dyDescent="0.25">
      <c r="A30" s="19" t="s">
        <v>47</v>
      </c>
      <c r="B30" s="19"/>
      <c r="C30" s="21"/>
      <c r="D30" s="22"/>
      <c r="E30" s="68"/>
      <c r="F30" s="11">
        <f t="shared" si="6"/>
        <v>0</v>
      </c>
      <c r="G30" s="11">
        <v>3300</v>
      </c>
      <c r="H30" s="11"/>
      <c r="I30" s="11"/>
      <c r="J30" s="11">
        <f t="shared" si="5"/>
        <v>0</v>
      </c>
      <c r="K30" s="19"/>
      <c r="L30" s="11"/>
      <c r="M30" s="11"/>
      <c r="N30" s="21"/>
      <c r="O30" s="41">
        <f t="shared" si="7"/>
        <v>0</v>
      </c>
      <c r="P30" s="29"/>
      <c r="Q30" s="29"/>
      <c r="R30" s="29"/>
    </row>
    <row r="31" spans="1:18" ht="15.75" x14ac:dyDescent="0.25">
      <c r="A31" s="19" t="s">
        <v>41</v>
      </c>
      <c r="B31" s="19"/>
      <c r="C31" s="71"/>
      <c r="D31" s="22"/>
      <c r="E31" s="68"/>
      <c r="F31" s="65">
        <f>C31+D31+E31</f>
        <v>0</v>
      </c>
      <c r="G31" s="65">
        <v>3425</v>
      </c>
      <c r="H31" s="11"/>
      <c r="I31" s="23"/>
      <c r="J31" s="11">
        <f>G31*F31</f>
        <v>0</v>
      </c>
      <c r="K31" s="19"/>
      <c r="L31" s="11"/>
      <c r="M31" s="11"/>
      <c r="N31" s="21"/>
      <c r="O31" s="41">
        <f t="shared" si="7"/>
        <v>0</v>
      </c>
      <c r="P31" s="29"/>
      <c r="Q31" s="29"/>
      <c r="R31" s="29"/>
    </row>
    <row r="32" spans="1:18" s="83" customFormat="1" ht="15.75" x14ac:dyDescent="0.25">
      <c r="A32" s="79" t="s">
        <v>49</v>
      </c>
      <c r="B32" s="79"/>
      <c r="C32" s="71">
        <v>15</v>
      </c>
      <c r="D32" s="68"/>
      <c r="E32" s="68"/>
      <c r="F32" s="65">
        <f>C32+D32+E32</f>
        <v>15</v>
      </c>
      <c r="G32" s="80">
        <v>3780</v>
      </c>
      <c r="H32" s="80"/>
      <c r="I32" s="81"/>
      <c r="J32" s="65">
        <f t="shared" si="5"/>
        <v>56700</v>
      </c>
      <c r="K32" s="79"/>
      <c r="L32" s="65"/>
      <c r="M32" s="80"/>
      <c r="N32" s="71"/>
      <c r="O32" s="41">
        <f t="shared" si="7"/>
        <v>0</v>
      </c>
      <c r="P32" s="82"/>
      <c r="Q32" s="82"/>
      <c r="R32" s="82"/>
    </row>
    <row r="33" spans="1:18" ht="15.75" x14ac:dyDescent="0.25">
      <c r="A33" s="19"/>
      <c r="B33" s="19"/>
      <c r="C33" s="21"/>
      <c r="D33" s="22"/>
      <c r="E33" s="68"/>
      <c r="F33" s="11">
        <f>C33+D33+E33</f>
        <v>0</v>
      </c>
      <c r="G33" s="23"/>
      <c r="H33" s="23"/>
      <c r="I33" s="62"/>
      <c r="J33" s="11">
        <f t="shared" si="5"/>
        <v>0</v>
      </c>
      <c r="K33" s="19"/>
      <c r="L33" s="11"/>
      <c r="M33" s="23"/>
      <c r="N33" s="21"/>
      <c r="O33" s="41">
        <f t="shared" si="7"/>
        <v>0</v>
      </c>
      <c r="P33" s="29"/>
      <c r="Q33" s="29"/>
      <c r="R33" s="29"/>
    </row>
    <row r="34" spans="1:18" ht="15.75" x14ac:dyDescent="0.25">
      <c r="A34" s="19"/>
      <c r="B34" s="19"/>
      <c r="C34" s="21"/>
      <c r="D34" s="22"/>
      <c r="E34" s="22"/>
      <c r="F34" s="11">
        <f>C34+D34+E34</f>
        <v>0</v>
      </c>
      <c r="G34" s="23"/>
      <c r="H34" s="23"/>
      <c r="I34" s="24"/>
      <c r="J34" s="11">
        <f>G34*F34</f>
        <v>0</v>
      </c>
      <c r="K34" s="19"/>
      <c r="L34" s="11"/>
      <c r="M34" s="23"/>
      <c r="N34" s="21"/>
      <c r="O34" s="41">
        <f t="shared" si="7"/>
        <v>0</v>
      </c>
      <c r="P34" s="29"/>
      <c r="Q34" s="29"/>
      <c r="R34" s="29"/>
    </row>
    <row r="35" spans="1:18" ht="15.75" x14ac:dyDescent="0.25">
      <c r="A35" s="19"/>
      <c r="B35" s="19"/>
      <c r="C35" s="21"/>
      <c r="D35" s="22"/>
      <c r="E35" s="22"/>
      <c r="F35" s="11">
        <f>C35+D35+E35</f>
        <v>0</v>
      </c>
      <c r="G35" s="23"/>
      <c r="H35" s="23"/>
      <c r="I35" s="24"/>
      <c r="J35" s="11">
        <f>G35*F35</f>
        <v>0</v>
      </c>
      <c r="K35" s="19"/>
      <c r="L35" s="11"/>
      <c r="M35" s="23"/>
      <c r="N35" s="21"/>
      <c r="O35" s="41">
        <f t="shared" si="7"/>
        <v>0</v>
      </c>
      <c r="P35" s="29"/>
      <c r="Q35" s="29"/>
      <c r="R35" s="29"/>
    </row>
    <row r="36" spans="1:18" ht="15.75" x14ac:dyDescent="0.25">
      <c r="A36" s="17" t="s">
        <v>23</v>
      </c>
      <c r="B36" s="17"/>
      <c r="C36" s="17"/>
      <c r="D36" s="17"/>
      <c r="E36" s="17"/>
      <c r="F36" s="17"/>
      <c r="G36" s="17"/>
      <c r="H36" s="17"/>
      <c r="I36" s="52"/>
      <c r="J36" s="58">
        <f>N36-O36</f>
        <v>6472.5</v>
      </c>
      <c r="K36" s="17"/>
      <c r="L36" s="17"/>
      <c r="M36" s="17"/>
      <c r="N36" s="17">
        <f>SUM(N25:N35)</f>
        <v>6472.5</v>
      </c>
      <c r="O36" s="37">
        <f>SUM(O26:O35)</f>
        <v>0</v>
      </c>
      <c r="P36" s="29"/>
      <c r="Q36" s="29"/>
      <c r="R36" s="29"/>
    </row>
    <row r="37" spans="1:18" ht="15.75" x14ac:dyDescent="0.25">
      <c r="A37" s="19"/>
      <c r="B37" s="19"/>
      <c r="C37" s="11"/>
      <c r="D37" s="11"/>
      <c r="E37" s="23"/>
      <c r="F37" s="11"/>
      <c r="G37" s="23"/>
      <c r="H37" s="54"/>
      <c r="J37" s="59" t="s">
        <v>30</v>
      </c>
      <c r="K37" s="19"/>
      <c r="L37" s="11"/>
      <c r="M37" s="23"/>
      <c r="N37" s="23"/>
      <c r="O37" s="42"/>
      <c r="P37" s="29"/>
      <c r="Q37" s="29"/>
      <c r="R37" s="29"/>
    </row>
    <row r="38" spans="1:18" ht="15.75" x14ac:dyDescent="0.25">
      <c r="A38" s="19"/>
      <c r="B38" s="19"/>
      <c r="C38" s="11"/>
      <c r="D38" s="11"/>
      <c r="E38" s="23"/>
      <c r="F38" s="11"/>
      <c r="G38" s="23"/>
      <c r="H38" s="23"/>
      <c r="I38" s="23"/>
      <c r="J38" s="11"/>
      <c r="K38" s="19"/>
      <c r="L38" s="11"/>
      <c r="M38" s="23"/>
      <c r="N38" s="23"/>
      <c r="O38" s="42"/>
      <c r="P38" s="29"/>
      <c r="Q38" s="29"/>
      <c r="R38" s="29"/>
    </row>
    <row r="39" spans="1:18" ht="15.75" x14ac:dyDescent="0.25">
      <c r="A39" s="19"/>
      <c r="B39" s="19"/>
      <c r="C39" s="25"/>
      <c r="D39" s="18"/>
      <c r="E39" s="23"/>
      <c r="F39" s="11"/>
      <c r="G39" s="23"/>
      <c r="H39" s="23"/>
      <c r="I39" s="23"/>
      <c r="J39" s="27"/>
      <c r="K39" s="19"/>
      <c r="L39" s="18"/>
      <c r="M39" s="23"/>
      <c r="N39" s="23"/>
      <c r="O39" s="42"/>
      <c r="P39" s="29"/>
      <c r="Q39" s="29"/>
      <c r="R39" s="29"/>
    </row>
    <row r="40" spans="1:18" ht="16.5" thickBot="1" x14ac:dyDescent="0.3">
      <c r="A40" s="26"/>
      <c r="B40" s="26"/>
      <c r="C40" s="27"/>
      <c r="D40" s="27"/>
      <c r="E40" s="25"/>
      <c r="F40" s="18"/>
      <c r="G40" s="18"/>
      <c r="H40" s="18"/>
      <c r="I40" s="28"/>
      <c r="J40" s="51"/>
      <c r="K40" s="50"/>
      <c r="L40" s="27"/>
      <c r="M40" s="25"/>
      <c r="N40" s="29"/>
      <c r="O40" s="18"/>
      <c r="P40" s="18"/>
      <c r="Q40" s="28"/>
      <c r="R40" s="28"/>
    </row>
    <row r="41" spans="1:18" ht="16.5" thickBot="1" x14ac:dyDescent="0.3">
      <c r="A41" s="30"/>
      <c r="B41" s="32"/>
      <c r="C41" s="31"/>
      <c r="D41" s="31"/>
      <c r="E41" s="32"/>
      <c r="F41" s="32"/>
      <c r="G41" s="32" t="s">
        <v>18</v>
      </c>
      <c r="H41" s="32"/>
      <c r="I41" s="32"/>
      <c r="J41" s="56">
        <f>SUM(J26:J36)</f>
        <v>3403172.5</v>
      </c>
      <c r="K41" s="67" t="s">
        <v>40</v>
      </c>
      <c r="L41" s="32"/>
      <c r="M41" s="32"/>
      <c r="N41" s="32"/>
      <c r="O41" s="32"/>
      <c r="P41" s="47"/>
      <c r="Q41" s="47"/>
      <c r="R41" s="46"/>
    </row>
    <row r="42" spans="1:18" ht="15.75" x14ac:dyDescent="0.25">
      <c r="A42" s="7"/>
      <c r="B42" s="7"/>
      <c r="C42" s="7"/>
      <c r="D42" s="7"/>
      <c r="E42" s="7"/>
      <c r="F42" s="7"/>
      <c r="G42" s="7"/>
      <c r="H42" s="7"/>
      <c r="I42" s="7"/>
      <c r="J42" s="85" t="s">
        <v>32</v>
      </c>
      <c r="K42" s="8"/>
      <c r="L42" s="8"/>
      <c r="M42" s="8"/>
      <c r="N42" s="8"/>
      <c r="O42" s="8"/>
      <c r="P42" s="8"/>
      <c r="Q42" s="8"/>
      <c r="R42" s="8"/>
    </row>
    <row r="43" spans="1:18" ht="26.25" customHeight="1" thickBot="1" x14ac:dyDescent="0.3">
      <c r="A43" s="7"/>
      <c r="B43" s="7"/>
      <c r="C43" s="7"/>
      <c r="D43" s="7"/>
      <c r="E43" s="7"/>
      <c r="F43" s="7"/>
      <c r="G43" s="7"/>
      <c r="H43" s="7"/>
      <c r="I43" s="7"/>
      <c r="J43" s="86"/>
      <c r="K43" s="8"/>
      <c r="L43" s="8"/>
      <c r="M43" s="8"/>
      <c r="N43" s="8"/>
      <c r="O43" s="8"/>
      <c r="P43" s="8"/>
      <c r="Q43" s="8"/>
      <c r="R43" s="8"/>
    </row>
    <row r="44" spans="1:18" ht="15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8"/>
      <c r="L44" s="8"/>
      <c r="M44" s="8"/>
      <c r="N44" s="8"/>
      <c r="O44" s="8"/>
      <c r="P44" s="8"/>
      <c r="Q44" s="8"/>
      <c r="R44" s="8"/>
    </row>
    <row r="45" spans="1:18" ht="15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8"/>
      <c r="L45" s="8"/>
      <c r="N45" s="8"/>
      <c r="O45" s="8"/>
      <c r="P45" s="8"/>
      <c r="Q45" s="8"/>
      <c r="R45" s="8"/>
    </row>
    <row r="46" spans="1:18" ht="15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8"/>
      <c r="L46" s="8"/>
      <c r="M46" s="8"/>
      <c r="N46" s="8"/>
      <c r="O46" s="8"/>
      <c r="P46" s="8"/>
      <c r="Q46" s="8"/>
      <c r="R46" s="8"/>
    </row>
    <row r="47" spans="1:18" ht="15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8"/>
      <c r="L47" s="8"/>
      <c r="M47" s="8"/>
      <c r="N47" s="8"/>
      <c r="O47" s="8"/>
      <c r="P47" s="8"/>
      <c r="Q47" s="8"/>
      <c r="R47" s="8"/>
    </row>
    <row r="48" spans="1:18" ht="15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8"/>
      <c r="L48" s="8"/>
      <c r="M48" s="8"/>
      <c r="N48" s="8"/>
      <c r="O48" s="8"/>
      <c r="P48" s="8"/>
      <c r="Q48" s="8"/>
      <c r="R48" s="8"/>
    </row>
    <row r="49" spans="1:18" ht="15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8"/>
      <c r="L49" s="8"/>
      <c r="M49" s="8"/>
      <c r="N49" s="8"/>
      <c r="O49" s="8"/>
      <c r="P49" s="8"/>
      <c r="Q49" s="8"/>
      <c r="R49" s="8"/>
    </row>
    <row r="50" spans="1:18" ht="15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8"/>
      <c r="L50" s="8"/>
      <c r="M50" s="8"/>
      <c r="N50" s="8"/>
      <c r="O50" s="8"/>
      <c r="P50" s="8"/>
      <c r="Q50" s="8"/>
      <c r="R50" s="8"/>
    </row>
    <row r="51" spans="1:18" ht="15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8"/>
      <c r="O51" s="8"/>
      <c r="P51" s="8"/>
      <c r="Q51" s="8"/>
      <c r="R51" s="8"/>
    </row>
    <row r="52" spans="1:18" ht="15.75" x14ac:dyDescent="0.25">
      <c r="A52" s="49"/>
      <c r="B52" s="49"/>
      <c r="C52" s="49"/>
      <c r="D52" s="49"/>
      <c r="E52" s="49"/>
      <c r="F52" s="7"/>
      <c r="G52" s="7"/>
      <c r="H52" s="7"/>
      <c r="I52" s="7"/>
      <c r="J52" s="7"/>
      <c r="K52" s="8"/>
      <c r="L52" s="8"/>
      <c r="M52" s="8"/>
      <c r="N52" s="8"/>
      <c r="O52" s="8"/>
      <c r="P52" s="8"/>
      <c r="Q52" s="8"/>
      <c r="R52" s="8"/>
    </row>
    <row r="58" spans="1:18" x14ac:dyDescent="0.25">
      <c r="I58">
        <f>425+425+425+255+425</f>
        <v>1955</v>
      </c>
    </row>
  </sheetData>
  <mergeCells count="2">
    <mergeCell ref="H1:I1"/>
    <mergeCell ref="J42:J43"/>
  </mergeCells>
  <phoneticPr fontId="4" type="noConversion"/>
  <pageMargins left="0.7" right="0.7" top="0.75" bottom="0.75" header="0.3" footer="0.3"/>
  <pageSetup paperSize="9" scale="96" orientation="portrait" r:id="rId1"/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18"/>
  <sheetViews>
    <sheetView zoomScaleNormal="100" workbookViewId="0">
      <selection activeCell="A25" sqref="A25"/>
    </sheetView>
  </sheetViews>
  <sheetFormatPr defaultRowHeight="15" x14ac:dyDescent="0.25"/>
  <sheetData>
    <row r="1" spans="4:8" x14ac:dyDescent="0.25">
      <c r="H1" t="s">
        <v>8</v>
      </c>
    </row>
    <row r="2" spans="4:8" x14ac:dyDescent="0.25">
      <c r="E2" t="s">
        <v>9</v>
      </c>
    </row>
    <row r="4" spans="4:8" x14ac:dyDescent="0.25">
      <c r="D4" t="s">
        <v>12</v>
      </c>
      <c r="H4" t="s">
        <v>10</v>
      </c>
    </row>
    <row r="6" spans="4:8" x14ac:dyDescent="0.25">
      <c r="H6" t="s">
        <v>26</v>
      </c>
    </row>
    <row r="8" spans="4:8" x14ac:dyDescent="0.25">
      <c r="H8" t="s">
        <v>11</v>
      </c>
    </row>
    <row r="10" spans="4:8" x14ac:dyDescent="0.25">
      <c r="H10" t="s">
        <v>24</v>
      </c>
    </row>
    <row r="11" spans="4:8" x14ac:dyDescent="0.25">
      <c r="D11" t="s">
        <v>13</v>
      </c>
    </row>
    <row r="13" spans="4:8" x14ac:dyDescent="0.25">
      <c r="H13" t="s">
        <v>25</v>
      </c>
    </row>
    <row r="17" spans="3:8" x14ac:dyDescent="0.25">
      <c r="H17" t="s">
        <v>14</v>
      </c>
    </row>
    <row r="18" spans="3:8" x14ac:dyDescent="0.25">
      <c r="C18" t="s">
        <v>15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يومية الاسمنت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2026-05-02T13:26:15Z</dcterms:modified>
</cp:coreProperties>
</file>